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slav\YandexDisk\Унивирситет\Дисциплины\ТЗИ\Лабораторные работы\3 Лабораторная работа\"/>
    </mc:Choice>
  </mc:AlternateContent>
  <xr:revisionPtr revIDLastSave="0" documentId="13_ncr:1_{A74C7BA9-0785-4D63-81AC-63911BF3B5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E6" i="1"/>
  <c r="F6" i="1"/>
  <c r="F10" i="1" s="1"/>
  <c r="F11" i="1" s="1"/>
  <c r="F15" i="1" s="1"/>
  <c r="F16" i="1" s="1"/>
  <c r="F17" i="1" s="1"/>
  <c r="C6" i="1"/>
  <c r="C10" i="1" s="1"/>
  <c r="C11" i="1" s="1"/>
  <c r="C15" i="1" s="1"/>
  <c r="C16" i="1" s="1"/>
  <c r="C17" i="1" s="1"/>
  <c r="D6" i="1"/>
  <c r="D10" i="1" s="1"/>
  <c r="D11" i="1" s="1"/>
  <c r="D15" i="1" s="1"/>
  <c r="D16" i="1" s="1"/>
  <c r="D17" i="1" s="1"/>
  <c r="E10" i="1"/>
  <c r="E11" i="1" s="1"/>
  <c r="E15" i="1" s="1"/>
  <c r="E16" i="1" s="1"/>
  <c r="E17" i="1" s="1"/>
  <c r="B6" i="1"/>
  <c r="B10" i="1" s="1"/>
  <c r="B11" i="1" s="1"/>
  <c r="B15" i="1" s="1"/>
  <c r="B16" i="1" s="1"/>
  <c r="B17" i="1" s="1"/>
  <c r="B17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5" i="2"/>
  <c r="E5" i="2"/>
  <c r="D5" i="2"/>
  <c r="C5" i="2"/>
  <c r="B5" i="2"/>
  <c r="F9" i="1"/>
  <c r="E9" i="1"/>
  <c r="D9" i="1"/>
  <c r="C9" i="1"/>
  <c r="B18" i="1" l="1"/>
  <c r="B19" i="1" s="1"/>
</calcChain>
</file>

<file path=xl/sharedStrings.xml><?xml version="1.0" encoding="utf-8"?>
<sst xmlns="http://schemas.openxmlformats.org/spreadsheetml/2006/main" count="34" uniqueCount="25">
  <si>
    <t>Октава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</si>
  <si>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Ci</t>
    </r>
  </si>
  <si>
    <r>
      <rPr>
        <vertAlign val="subscript"/>
        <sz val="11"/>
        <color theme="1"/>
        <rFont val="Calibri"/>
        <family val="2"/>
        <charset val="204"/>
        <scheme val="minor"/>
      </rPr>
      <t>L𝑯𝒊</t>
    </r>
    <r>
      <rPr>
        <sz val="11"/>
        <color theme="1"/>
        <rFont val="Calibri"/>
        <family val="2"/>
        <charset val="204"/>
        <scheme val="minor"/>
      </rPr>
      <t>, дБ</t>
    </r>
  </si>
  <si>
    <r>
      <t>∆L</t>
    </r>
    <r>
      <rPr>
        <vertAlign val="subscript"/>
        <sz val="11"/>
        <color theme="1"/>
        <rFont val="Calibri"/>
        <family val="2"/>
        <charset val="204"/>
        <scheme val="minor"/>
      </rPr>
      <t>𝒊</t>
    </r>
    <r>
      <rPr>
        <sz val="11"/>
        <color theme="1"/>
        <rFont val="Calibri"/>
        <family val="2"/>
        <charset val="204"/>
        <scheme val="minor"/>
      </rPr>
      <t>, дБ</t>
    </r>
  </si>
  <si>
    <r>
      <rPr>
        <vertAlign val="subscript"/>
        <sz val="11"/>
        <color theme="1"/>
        <rFont val="Calibri"/>
        <family val="2"/>
        <charset val="204"/>
        <scheme val="minor"/>
      </rPr>
      <t>E𝒊</t>
    </r>
    <r>
      <rPr>
        <sz val="11"/>
        <color theme="1"/>
        <rFont val="Calibri"/>
        <family val="2"/>
        <charset val="204"/>
        <scheme val="minor"/>
      </rPr>
      <t>, дБ</t>
    </r>
  </si>
  <si>
    <t>Wнорм</t>
  </si>
  <si>
    <t>Ai</t>
  </si>
  <si>
    <t>Ki</t>
  </si>
  <si>
    <t>LТСi</t>
  </si>
  <si>
    <t>Lc+Шi</t>
  </si>
  <si>
    <t>LШi</t>
  </si>
  <si>
    <t>𝑽ТС𝒊</t>
  </si>
  <si>
    <t>𝑽𝑪+Ш𝒊</t>
  </si>
  <si>
    <t>𝑽Ш𝒊</t>
  </si>
  <si>
    <t>𝑽𝑪𝒊, дБ</t>
  </si>
  <si>
    <t>𝑽𝑯𝒊, дБ</t>
  </si>
  <si>
    <t>∆𝑽𝒊, дБ</t>
  </si>
  <si>
    <t>𝑽С.прив.𝒊, дБ</t>
  </si>
  <si>
    <t>𝑬𝒊, дБ</t>
  </si>
  <si>
    <t>Qi</t>
  </si>
  <si>
    <t>pi</t>
  </si>
  <si>
    <t>Ri</t>
  </si>
  <si>
    <t>R</t>
  </si>
  <si>
    <t>Wc</t>
  </si>
  <si>
    <t>LС.прив.i, дБ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</si>
</sst>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 indent="2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 indent="3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F8FA-A15D-4290-90F3-EAC4F837C82E}">
  <dimension ref="A1:F19"/>
  <sheetViews>
    <sheetView tabSelected="1" zoomScale="115" zoomScaleNormal="115" workbookViewId="0">
      <selection activeCell="D21" sqref="D21"/>
    </sheetView>
  </sheetViews>
  <sheetFormatPr defaultRowHeight="14.4" x14ac:dyDescent="0.3"/>
  <cols>
    <col min="1" max="1" width="21.6640625" customWidth="1"/>
    <col min="2" max="6" width="12.6640625" bestFit="1" customWidth="1"/>
  </cols>
  <sheetData>
    <row r="1" spans="1:6" ht="15.6" x14ac:dyDescent="0.3">
      <c r="A1" s="6" t="s">
        <v>0</v>
      </c>
      <c r="B1" s="6">
        <v>250</v>
      </c>
      <c r="C1" s="6">
        <v>500</v>
      </c>
      <c r="D1" s="6">
        <v>1000</v>
      </c>
      <c r="E1" s="6">
        <v>2000</v>
      </c>
      <c r="F1" s="6">
        <v>4000</v>
      </c>
    </row>
    <row r="2" spans="1:6" x14ac:dyDescent="0.3">
      <c r="A2" s="5" t="s">
        <v>8</v>
      </c>
      <c r="B2" s="5">
        <v>88.68</v>
      </c>
      <c r="C2" s="5">
        <v>88.575000000000003</v>
      </c>
      <c r="D2" s="5">
        <v>86.23</v>
      </c>
      <c r="E2" s="5">
        <v>86.974999999999994</v>
      </c>
      <c r="F2" s="5">
        <v>76.224999999999994</v>
      </c>
    </row>
    <row r="3" spans="1:6" x14ac:dyDescent="0.3">
      <c r="A3" s="5" t="s">
        <v>9</v>
      </c>
      <c r="B3" s="5">
        <v>44.89</v>
      </c>
      <c r="C3" s="5">
        <v>40.81</v>
      </c>
      <c r="D3" s="5">
        <v>42</v>
      </c>
      <c r="E3" s="5">
        <v>40.56</v>
      </c>
      <c r="F3" s="5">
        <v>40.94</v>
      </c>
    </row>
    <row r="4" spans="1:6" x14ac:dyDescent="0.3">
      <c r="A4" s="5" t="s">
        <v>10</v>
      </c>
      <c r="B4" s="5">
        <v>23.43</v>
      </c>
      <c r="C4" s="5">
        <v>25.23</v>
      </c>
      <c r="D4" s="5">
        <v>28.12</v>
      </c>
      <c r="E4" s="5">
        <v>23.42</v>
      </c>
      <c r="F4" s="5">
        <v>21.32</v>
      </c>
    </row>
    <row r="5" spans="1:6" x14ac:dyDescent="0.3">
      <c r="A5" s="5"/>
      <c r="B5" s="4"/>
      <c r="C5" s="4"/>
      <c r="D5" s="4"/>
      <c r="E5" s="4"/>
      <c r="F5" s="4"/>
    </row>
    <row r="6" spans="1:6" ht="15.6" x14ac:dyDescent="0.3">
      <c r="A6" s="5" t="s">
        <v>1</v>
      </c>
      <c r="B6" s="5">
        <f>10*LOG10(10^(B3/10)-10^(B4/10))</f>
        <v>44.858858433191003</v>
      </c>
      <c r="C6" s="5">
        <f t="shared" ref="C6:F6" si="0">10*LOG10(10^(C3/10)-10^(C4/10))</f>
        <v>40.688139462026847</v>
      </c>
      <c r="D6" s="5">
        <f t="shared" si="0"/>
        <v>41.818520877778468</v>
      </c>
      <c r="E6" s="5">
        <f>10*LOG10(10^(E3/10)-10^(E4/10))</f>
        <v>40.475274586915113</v>
      </c>
      <c r="F6" s="5">
        <f>10*LOG10(10^(F3/10)-10^(F4/10))</f>
        <v>40.892338775808781</v>
      </c>
    </row>
    <row r="7" spans="1:6" x14ac:dyDescent="0.3">
      <c r="A7" s="3"/>
      <c r="B7" s="7"/>
      <c r="C7" s="7"/>
      <c r="D7" s="7"/>
      <c r="E7" s="7"/>
      <c r="F7" s="7"/>
    </row>
    <row r="8" spans="1:6" ht="15.6" x14ac:dyDescent="0.3">
      <c r="A8" s="3" t="s">
        <v>2</v>
      </c>
      <c r="B8" s="7">
        <v>66</v>
      </c>
      <c r="C8" s="7">
        <v>66</v>
      </c>
      <c r="D8" s="7">
        <v>61</v>
      </c>
      <c r="E8" s="7">
        <v>56</v>
      </c>
      <c r="F8" s="7">
        <v>53</v>
      </c>
    </row>
    <row r="9" spans="1:6" ht="15.6" x14ac:dyDescent="0.3">
      <c r="A9" s="3" t="s">
        <v>3</v>
      </c>
      <c r="B9" s="7">
        <f>B2-B8</f>
        <v>22.680000000000007</v>
      </c>
      <c r="C9" s="7">
        <f t="shared" ref="C9:F9" si="1">C2-C8</f>
        <v>22.575000000000003</v>
      </c>
      <c r="D9" s="7">
        <f t="shared" si="1"/>
        <v>25.230000000000004</v>
      </c>
      <c r="E9" s="7">
        <f t="shared" si="1"/>
        <v>30.974999999999994</v>
      </c>
      <c r="F9" s="7">
        <f t="shared" si="1"/>
        <v>23.224999999999994</v>
      </c>
    </row>
    <row r="10" spans="1:6" x14ac:dyDescent="0.3">
      <c r="A10" s="7" t="s">
        <v>24</v>
      </c>
      <c r="B10" s="7">
        <f>B6-B9</f>
        <v>22.178858433190996</v>
      </c>
      <c r="C10" s="7">
        <f t="shared" ref="C10:F10" si="2">C6-C9</f>
        <v>18.113139462026844</v>
      </c>
      <c r="D10" s="7">
        <f t="shared" si="2"/>
        <v>16.588520877778464</v>
      </c>
      <c r="E10" s="7">
        <f t="shared" si="2"/>
        <v>9.5002745869151184</v>
      </c>
      <c r="F10" s="7">
        <f t="shared" si="2"/>
        <v>17.667338775808787</v>
      </c>
    </row>
    <row r="11" spans="1:6" ht="15.6" x14ac:dyDescent="0.3">
      <c r="A11" s="8" t="s">
        <v>4</v>
      </c>
      <c r="B11" s="7">
        <f>B10-B4</f>
        <v>-1.2511415668090038</v>
      </c>
      <c r="C11" s="7">
        <f t="shared" ref="C11:F11" si="3">C10-C4</f>
        <v>-7.1168605379731567</v>
      </c>
      <c r="D11" s="7">
        <f t="shared" si="3"/>
        <v>-11.531479122221537</v>
      </c>
      <c r="E11" s="7">
        <f t="shared" si="3"/>
        <v>-13.919725413084883</v>
      </c>
      <c r="F11" s="7">
        <f t="shared" si="3"/>
        <v>-3.6526612241912133</v>
      </c>
    </row>
    <row r="12" spans="1:6" x14ac:dyDescent="0.3">
      <c r="A12" s="3" t="s">
        <v>5</v>
      </c>
      <c r="B12" s="4">
        <v>0.3</v>
      </c>
      <c r="C12" s="4"/>
      <c r="D12" s="4"/>
      <c r="E12" s="4"/>
      <c r="F12" s="4"/>
    </row>
    <row r="13" spans="1:6" x14ac:dyDescent="0.3">
      <c r="A13" s="3" t="s">
        <v>6</v>
      </c>
      <c r="B13" s="4">
        <v>18</v>
      </c>
      <c r="C13" s="4">
        <v>14</v>
      </c>
      <c r="D13" s="4">
        <v>9</v>
      </c>
      <c r="E13" s="4">
        <v>6</v>
      </c>
      <c r="F13" s="4">
        <v>5</v>
      </c>
    </row>
    <row r="14" spans="1:6" x14ac:dyDescent="0.3">
      <c r="A14" s="3" t="s">
        <v>7</v>
      </c>
      <c r="B14" s="4">
        <v>0.03</v>
      </c>
      <c r="C14" s="4">
        <v>0.12</v>
      </c>
      <c r="D14" s="4">
        <v>0.2</v>
      </c>
      <c r="E14" s="4">
        <v>0.3</v>
      </c>
      <c r="F14" s="4">
        <v>0.26</v>
      </c>
    </row>
    <row r="15" spans="1:6" x14ac:dyDescent="0.3">
      <c r="A15" s="3" t="s">
        <v>19</v>
      </c>
      <c r="B15" s="4">
        <f>B11-B13</f>
        <v>-19.251141566809004</v>
      </c>
      <c r="C15" s="4">
        <f t="shared" ref="C15:F15" si="4">C11-C13</f>
        <v>-21.116860537973157</v>
      </c>
      <c r="D15" s="4">
        <f t="shared" si="4"/>
        <v>-20.531479122221537</v>
      </c>
      <c r="E15" s="4">
        <f t="shared" si="4"/>
        <v>-19.919725413084883</v>
      </c>
      <c r="F15" s="4">
        <f t="shared" si="4"/>
        <v>-8.6526612241912133</v>
      </c>
    </row>
    <row r="16" spans="1:6" x14ac:dyDescent="0.3">
      <c r="A16" s="3" t="s">
        <v>20</v>
      </c>
      <c r="B16" s="4">
        <f>IF(B15&gt;0,1-((0.78+5.46*EXP(-4.3*10^(-3)*(27.3-B15)^2))/(1+10^(0.1*B15))),(0.78+5.46*EXP(-4.3*10^(-3)*(27.3-ABS(B15))^2))/(1+10^(0.1*ABS(B15))))</f>
        <v>5.7684160363961297E-2</v>
      </c>
      <c r="C16" s="4">
        <f t="shared" ref="C16:F16" si="5">IF(C15&gt;0,1-((0.78+5.46*EXP(-4.3*10^(-3)*(27.3-C15)^2))/(1+10^(0.1*C15))),(0.78+5.46*EXP(-4.3*10^(-3)*(27.3-ABS(C15))^2))/(1+10^(0.1*ABS(C15))))</f>
        <v>4.152895323924078E-2</v>
      </c>
      <c r="D16" s="4">
        <f t="shared" si="5"/>
        <v>4.6165676597657128E-2</v>
      </c>
      <c r="E16" s="4">
        <f t="shared" si="5"/>
        <v>5.1426662325395313E-2</v>
      </c>
      <c r="F16" s="4">
        <f t="shared" si="5"/>
        <v>0.24051404653889982</v>
      </c>
    </row>
    <row r="17" spans="1:6" x14ac:dyDescent="0.3">
      <c r="A17" s="3" t="s">
        <v>21</v>
      </c>
      <c r="B17" s="4">
        <f>B16*B14</f>
        <v>1.7305248109188388E-3</v>
      </c>
      <c r="C17" s="4">
        <f t="shared" ref="C17:F17" si="6">C16*C14</f>
        <v>4.9834743887088931E-3</v>
      </c>
      <c r="D17" s="4">
        <f t="shared" si="6"/>
        <v>9.2331353195314256E-3</v>
      </c>
      <c r="E17" s="4">
        <f t="shared" si="6"/>
        <v>1.5427998697618593E-2</v>
      </c>
      <c r="F17" s="4">
        <f t="shared" si="6"/>
        <v>6.2533652100113954E-2</v>
      </c>
    </row>
    <row r="18" spans="1:6" x14ac:dyDescent="0.3">
      <c r="A18" s="3" t="s">
        <v>22</v>
      </c>
      <c r="B18" s="4">
        <f>SUM(B17:F17)</f>
        <v>9.3908785316891702E-2</v>
      </c>
      <c r="C18" s="4"/>
      <c r="D18" s="4"/>
      <c r="E18" s="4"/>
      <c r="F18" s="4"/>
    </row>
    <row r="19" spans="1:6" x14ac:dyDescent="0.3">
      <c r="A19" s="3" t="s">
        <v>23</v>
      </c>
      <c r="B19" s="4">
        <f>IF($B18&lt;0.15,1.54*($B18^0.25)*(1-EXP(-11*$B18)),1-EXP((-11*$B18)/(1+0.7*$B18)))</f>
        <v>0.54906587561068487</v>
      </c>
      <c r="C19" s="4"/>
      <c r="D19" s="4"/>
      <c r="E19" s="4"/>
      <c r="F1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2C7-8873-49DF-B35D-E0AFD17FF591}">
  <dimension ref="A1:F17"/>
  <sheetViews>
    <sheetView zoomScale="133" zoomScaleNormal="133" workbookViewId="0">
      <selection activeCell="B17" sqref="B17"/>
    </sheetView>
  </sheetViews>
  <sheetFormatPr defaultRowHeight="14.4" x14ac:dyDescent="0.3"/>
  <cols>
    <col min="1" max="1" width="13.33203125" customWidth="1"/>
    <col min="2" max="2" width="12.109375" bestFit="1" customWidth="1"/>
  </cols>
  <sheetData>
    <row r="1" spans="1:6" x14ac:dyDescent="0.3">
      <c r="A1" t="s">
        <v>0</v>
      </c>
      <c r="B1" s="4">
        <v>250</v>
      </c>
      <c r="C1" s="4">
        <v>500</v>
      </c>
      <c r="D1" s="4">
        <v>1000</v>
      </c>
      <c r="E1" s="4">
        <v>2000</v>
      </c>
      <c r="F1" s="4">
        <v>4000</v>
      </c>
    </row>
    <row r="2" spans="1:6" x14ac:dyDescent="0.3">
      <c r="A2" t="s">
        <v>11</v>
      </c>
      <c r="B2" s="4">
        <v>73.680000000000007</v>
      </c>
      <c r="C2" s="4">
        <v>74.05</v>
      </c>
      <c r="D2" s="4">
        <v>74.989999999999995</v>
      </c>
      <c r="E2" s="4">
        <v>84.38</v>
      </c>
      <c r="F2" s="4">
        <v>73.78</v>
      </c>
    </row>
    <row r="3" spans="1:6" x14ac:dyDescent="0.3">
      <c r="A3" t="s">
        <v>12</v>
      </c>
      <c r="B3" s="4">
        <v>52.96</v>
      </c>
      <c r="C3" s="4">
        <v>43.38</v>
      </c>
      <c r="D3" s="4">
        <v>43.1</v>
      </c>
      <c r="E3" s="4">
        <v>34.39</v>
      </c>
      <c r="F3" s="4">
        <v>44.24</v>
      </c>
    </row>
    <row r="4" spans="1:6" x14ac:dyDescent="0.3">
      <c r="A4" t="s">
        <v>13</v>
      </c>
      <c r="B4" s="4">
        <v>32.74</v>
      </c>
      <c r="C4" s="4">
        <v>32.99</v>
      </c>
      <c r="D4" s="4">
        <v>31.89</v>
      </c>
      <c r="E4" s="4">
        <v>23.18</v>
      </c>
      <c r="F4" s="4">
        <v>32.909999999999997</v>
      </c>
    </row>
    <row r="5" spans="1:6" x14ac:dyDescent="0.3">
      <c r="A5" t="s">
        <v>14</v>
      </c>
      <c r="B5" s="5">
        <f>IF((B3-B4)&gt;=10,B3,10*LOG10(10^(B3/10)-10^(B4/10)))</f>
        <v>52.96</v>
      </c>
      <c r="C5" s="5">
        <f t="shared" ref="C5:F5" si="0">IF((C3-C4)&gt;=10,C3,10*LOG10(10^(C3/10)-10^(C4/10)))</f>
        <v>43.38</v>
      </c>
      <c r="D5" s="5">
        <f>IF((D3-D4)&gt;=10,D3,10*LOG10(10^(D3/10)-10^(D4/10)))</f>
        <v>43.1</v>
      </c>
      <c r="E5" s="5">
        <f>IF((E3-E4)&gt;=10,E3,10*LOG10(10^(E3/10)-10^(E4/10)))</f>
        <v>34.39</v>
      </c>
      <c r="F5" s="5">
        <f t="shared" si="0"/>
        <v>44.24</v>
      </c>
    </row>
    <row r="6" spans="1:6" ht="15" thickBot="1" x14ac:dyDescent="0.35">
      <c r="A6" t="s">
        <v>15</v>
      </c>
      <c r="B6" s="1">
        <v>66</v>
      </c>
      <c r="C6" s="1">
        <v>66</v>
      </c>
      <c r="D6" s="1">
        <v>61</v>
      </c>
      <c r="E6" s="1">
        <v>56</v>
      </c>
      <c r="F6" s="1">
        <v>53</v>
      </c>
    </row>
    <row r="7" spans="1:6" ht="15" thickBot="1" x14ac:dyDescent="0.35">
      <c r="A7" t="s">
        <v>16</v>
      </c>
      <c r="B7" s="1">
        <f>B2-B6</f>
        <v>7.6800000000000068</v>
      </c>
      <c r="C7" s="1">
        <f t="shared" ref="C7:F7" si="1">C2-C6</f>
        <v>8.0499999999999972</v>
      </c>
      <c r="D7" s="1">
        <f t="shared" si="1"/>
        <v>13.989999999999995</v>
      </c>
      <c r="E7" s="1">
        <f t="shared" si="1"/>
        <v>28.379999999999995</v>
      </c>
      <c r="F7" s="1">
        <f t="shared" si="1"/>
        <v>20.78</v>
      </c>
    </row>
    <row r="8" spans="1:6" ht="15" thickBot="1" x14ac:dyDescent="0.35">
      <c r="A8" t="s">
        <v>17</v>
      </c>
      <c r="B8" s="1">
        <f>B5-B7</f>
        <v>45.279999999999994</v>
      </c>
      <c r="C8" s="1">
        <f>C5-C7</f>
        <v>35.330000000000005</v>
      </c>
      <c r="D8" s="1">
        <f>D5-D7</f>
        <v>29.110000000000007</v>
      </c>
      <c r="E8" s="1">
        <f>E5-E7</f>
        <v>6.0100000000000051</v>
      </c>
      <c r="F8" s="1">
        <f>F5-F7</f>
        <v>23.46</v>
      </c>
    </row>
    <row r="9" spans="1:6" x14ac:dyDescent="0.3">
      <c r="A9" t="s">
        <v>18</v>
      </c>
      <c r="B9" s="2">
        <f>B8-B4</f>
        <v>12.539999999999992</v>
      </c>
      <c r="C9" s="2">
        <f t="shared" ref="C9:F9" si="2">C8-C4</f>
        <v>2.3400000000000034</v>
      </c>
      <c r="D9" s="2">
        <f t="shared" si="2"/>
        <v>-2.779999999999994</v>
      </c>
      <c r="E9" s="2">
        <f t="shared" si="2"/>
        <v>-17.169999999999995</v>
      </c>
      <c r="F9" s="2">
        <f t="shared" si="2"/>
        <v>-9.4499999999999957</v>
      </c>
    </row>
    <row r="10" spans="1:6" x14ac:dyDescent="0.3">
      <c r="A10" s="3" t="s">
        <v>5</v>
      </c>
      <c r="B10" s="4">
        <v>0.3</v>
      </c>
      <c r="C10" s="4"/>
      <c r="D10" s="4"/>
      <c r="E10" s="4"/>
      <c r="F10" s="4"/>
    </row>
    <row r="11" spans="1:6" x14ac:dyDescent="0.3">
      <c r="A11" s="3" t="s">
        <v>6</v>
      </c>
      <c r="B11" s="4">
        <v>18</v>
      </c>
      <c r="C11" s="4">
        <v>14</v>
      </c>
      <c r="D11" s="4">
        <v>9</v>
      </c>
      <c r="E11" s="4">
        <v>6</v>
      </c>
      <c r="F11" s="4">
        <v>5</v>
      </c>
    </row>
    <row r="12" spans="1:6" x14ac:dyDescent="0.3">
      <c r="A12" s="3" t="s">
        <v>7</v>
      </c>
      <c r="B12" s="4">
        <v>0.03</v>
      </c>
      <c r="C12" s="4">
        <v>0.12</v>
      </c>
      <c r="D12" s="4">
        <v>0.2</v>
      </c>
      <c r="E12" s="4">
        <v>0.3</v>
      </c>
      <c r="F12" s="4">
        <v>0.26</v>
      </c>
    </row>
    <row r="13" spans="1:6" x14ac:dyDescent="0.3">
      <c r="A13" s="3" t="s">
        <v>19</v>
      </c>
      <c r="B13" s="4">
        <f>B9-B11</f>
        <v>-5.460000000000008</v>
      </c>
      <c r="C13" s="4">
        <f t="shared" ref="C13:F13" si="3">C9-C11</f>
        <v>-11.659999999999997</v>
      </c>
      <c r="D13" s="4">
        <f t="shared" si="3"/>
        <v>-11.779999999999994</v>
      </c>
      <c r="E13" s="4">
        <f t="shared" si="3"/>
        <v>-23.169999999999995</v>
      </c>
      <c r="F13" s="4">
        <f t="shared" si="3"/>
        <v>-14.449999999999996</v>
      </c>
    </row>
    <row r="14" spans="1:6" x14ac:dyDescent="0.3">
      <c r="A14" s="3" t="s">
        <v>20</v>
      </c>
      <c r="B14" s="4">
        <f>IF(B13&gt;0,1-(0.78+5.46*EXP(-4.3*10^(-3)*(27.3-B13)^2)/(1+10^(0.1*B13))),(0.78+5.46*EXP(-4.3*10^(-3)*(27.3-ABS(B13))^2))/(1+10^(0.1*ABS(B13))))</f>
        <v>0.32823143048660924</v>
      </c>
      <c r="C14" s="4">
        <f t="shared" ref="C14:F14" si="4">IF(C13&gt;0,1-(0.78+5.46*EXP(-4.3*10^(-3)*(27.3-C13)^2)/(1+10^(0.1*C13))),(0.78+5.46*EXP(-4.3*10^(-3)*(27.3-ABS(C13))^2))/(1+10^(0.1*ABS(C13))))</f>
        <v>0.17164492580601712</v>
      </c>
      <c r="D14" s="4">
        <f t="shared" si="4"/>
        <v>0.1691823781727603</v>
      </c>
      <c r="E14" s="4">
        <f t="shared" si="4"/>
        <v>2.8077286516942232E-2</v>
      </c>
      <c r="F14" s="4">
        <f t="shared" si="4"/>
        <v>0.12003326643589092</v>
      </c>
    </row>
    <row r="15" spans="1:6" x14ac:dyDescent="0.3">
      <c r="A15" s="3" t="s">
        <v>21</v>
      </c>
      <c r="B15" s="4">
        <f>B14*B12</f>
        <v>9.8469429145982765E-3</v>
      </c>
      <c r="C15" s="4">
        <f t="shared" ref="C15:F15" si="5">C14*C12</f>
        <v>2.0597391096722054E-2</v>
      </c>
      <c r="D15" s="4">
        <f t="shared" si="5"/>
        <v>3.3836475634552061E-2</v>
      </c>
      <c r="E15" s="4">
        <f t="shared" si="5"/>
        <v>8.4231859550826689E-3</v>
      </c>
      <c r="F15" s="4">
        <f t="shared" si="5"/>
        <v>3.120864927333164E-2</v>
      </c>
    </row>
    <row r="16" spans="1:6" x14ac:dyDescent="0.3">
      <c r="A16" s="3" t="s">
        <v>22</v>
      </c>
      <c r="B16" s="4">
        <f>SUM(B15:F15)</f>
        <v>0.1039126448742867</v>
      </c>
      <c r="C16" s="4"/>
      <c r="D16" s="4"/>
      <c r="E16" s="4"/>
      <c r="F16" s="4"/>
    </row>
    <row r="17" spans="1:6" x14ac:dyDescent="0.3">
      <c r="A17" s="3" t="s">
        <v>23</v>
      </c>
      <c r="B17" s="4">
        <f>IF($B16&lt;0.15,1.54*($B16^0.25)*(1-EXP(-11*$B16)),1-EXP((-11*$B16)/(1+0.7*$B16)))</f>
        <v>0.59556821827569084</v>
      </c>
      <c r="C17" s="4"/>
      <c r="D17" s="4"/>
      <c r="E17" s="4"/>
      <c r="F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Татьяна Морозова</cp:lastModifiedBy>
  <dcterms:modified xsi:type="dcterms:W3CDTF">2025-10-14T08:08:07Z</dcterms:modified>
  <cp:category/>
</cp:coreProperties>
</file>