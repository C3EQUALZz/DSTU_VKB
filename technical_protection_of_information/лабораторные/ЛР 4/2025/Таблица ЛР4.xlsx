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ladislav\YandexDisk\Унивирситет\Дисциплины\ТЗИ\Лабораторные работы\4 Лабораторная работа\"/>
    </mc:Choice>
  </mc:AlternateContent>
  <xr:revisionPtr revIDLastSave="0" documentId="13_ncr:1_{297B5683-F136-4829-9A45-24409924E7D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1" l="1"/>
  <c r="B25" i="1" l="1"/>
  <c r="C9" i="1"/>
  <c r="B9" i="1"/>
  <c r="D9" i="1" s="1"/>
  <c r="B26" i="1"/>
  <c r="B27" i="1"/>
  <c r="B28" i="1"/>
  <c r="B29" i="1"/>
  <c r="E10" i="1"/>
  <c r="E11" i="1"/>
  <c r="E12" i="1"/>
  <c r="E13" i="1"/>
  <c r="E9" i="1"/>
  <c r="C10" i="1"/>
  <c r="C11" i="1"/>
  <c r="C12" i="1"/>
  <c r="B13" i="1"/>
  <c r="D13" i="1" s="1"/>
  <c r="F13" i="1" s="1"/>
  <c r="F21" i="1" s="1"/>
  <c r="B11" i="1"/>
  <c r="D11" i="1" s="1"/>
  <c r="B10" i="1"/>
  <c r="B12" i="1"/>
  <c r="D12" i="1" s="1"/>
  <c r="D10" i="1" l="1"/>
  <c r="F12" i="1"/>
  <c r="F20" i="1" s="1"/>
  <c r="G20" i="1" s="1"/>
  <c r="K20" i="1" s="1"/>
  <c r="L20" i="1" s="1"/>
  <c r="M20" i="1" s="1"/>
  <c r="H20" i="1" s="1"/>
  <c r="F11" i="1"/>
  <c r="F19" i="1" s="1"/>
  <c r="G19" i="1" s="1"/>
  <c r="K19" i="1" s="1"/>
  <c r="L19" i="1" s="1"/>
  <c r="M19" i="1" s="1"/>
  <c r="H19" i="1" s="1"/>
  <c r="F10" i="1"/>
  <c r="F18" i="1" s="1"/>
  <c r="G18" i="1" s="1"/>
  <c r="K18" i="1" s="1"/>
  <c r="L18" i="1" s="1"/>
  <c r="M18" i="1" s="1"/>
  <c r="H18" i="1" s="1"/>
  <c r="F9" i="1"/>
  <c r="F17" i="1" s="1"/>
  <c r="G17" i="1" s="1"/>
  <c r="K17" i="1" s="1"/>
  <c r="L17" i="1" s="1"/>
  <c r="M17" i="1" s="1"/>
  <c r="H17" i="1" s="1"/>
  <c r="G21" i="1"/>
  <c r="K21" i="1" s="1"/>
  <c r="L21" i="1" s="1"/>
  <c r="M21" i="1" s="1"/>
  <c r="H21" i="1" s="1"/>
  <c r="C29" i="1"/>
  <c r="D29" i="1" s="1"/>
  <c r="H29" i="1" s="1"/>
  <c r="I29" i="1" s="1"/>
  <c r="J29" i="1" s="1"/>
  <c r="E29" i="1" s="1"/>
  <c r="C25" i="1"/>
  <c r="D25" i="1" s="1"/>
  <c r="H25" i="1" s="1"/>
  <c r="I25" i="1" s="1"/>
  <c r="J25" i="1" s="1"/>
  <c r="E25" i="1" s="1"/>
  <c r="C26" i="1" l="1"/>
  <c r="D26" i="1" s="1"/>
  <c r="H26" i="1" s="1"/>
  <c r="I26" i="1" s="1"/>
  <c r="J26" i="1" s="1"/>
  <c r="E26" i="1" s="1"/>
  <c r="C27" i="1"/>
  <c r="D27" i="1" s="1"/>
  <c r="H27" i="1" s="1"/>
  <c r="I27" i="1" s="1"/>
  <c r="J27" i="1" s="1"/>
  <c r="C28" i="1"/>
  <c r="D28" i="1" s="1"/>
  <c r="H28" i="1" s="1"/>
  <c r="I28" i="1" s="1"/>
  <c r="J28" i="1" s="1"/>
  <c r="E28" i="1" s="1"/>
  <c r="N17" i="1"/>
  <c r="O17" i="1" s="1"/>
  <c r="E27" i="1" l="1"/>
  <c r="K25" i="1"/>
  <c r="L25" i="1" s="1"/>
</calcChain>
</file>

<file path=xl/sharedStrings.xml><?xml version="1.0" encoding="utf-8"?>
<sst xmlns="http://schemas.openxmlformats.org/spreadsheetml/2006/main" count="40" uniqueCount="32">
  <si>
    <t>Напряжение «сигнал+шум» Ucшi, дБ</t>
  </si>
  <si>
    <t>Среднегеометрическая частота октавы, Гц</t>
  </si>
  <si>
    <t>Напряжение шума, Uшi, дБ</t>
  </si>
  <si>
    <t>Напряжение в линии связи вблизи подачи сигнала в точке T1, U1.i, мкВ</t>
  </si>
  <si>
    <t>Напряжени е в линии связи на границе КЗ T2, U2.i, мкВ</t>
  </si>
  <si>
    <t>Среднегеометричес кая частота октавы, Гц</t>
  </si>
  <si>
    <t>Напряжени е шума, Uшi, мкВ</t>
  </si>
  <si>
    <t>Напряжение сигнала, Uci, мкВ</t>
  </si>
  <si>
    <t>Напряжение «сигнал+ шум» Ucшi, мкВ</t>
  </si>
  <si>
    <t>Нормированный уровень звукового давления Lhi, Дб</t>
  </si>
  <si>
    <t>Измеренный уровень звукового давления, Li, дБ</t>
  </si>
  <si>
    <t>Коэф-т превышения звукового давления над нормой, Ki</t>
  </si>
  <si>
    <t>Напряжение сигнала, приведенного к нормированному звуковому давлению Uc.прив.i, мкВ</t>
  </si>
  <si>
    <t>Среднегеоме трическая частота октавы, Гц</t>
  </si>
  <si>
    <t>Напряжение шума для расчета отношения сигнал/шум, мкВ</t>
  </si>
  <si>
    <t>Напряжение нормированно го шума для симметричных линий связи Uш.н.окт.i,мкВ</t>
  </si>
  <si>
    <t>Напряжение нормированного шума для несимметричных линий связи Uш.н.окт.i, мкВ</t>
  </si>
  <si>
    <t>Напряжение нормированно го шума для линий питания Uш.н.окт.i,мкВ</t>
  </si>
  <si>
    <t>Словесная разборчивос ть речи Wc</t>
  </si>
  <si>
    <t>Среднегеометрическая частота октавы,Гц</t>
  </si>
  <si>
    <t>Коэффициент затухания в линии связи Kл.i</t>
  </si>
  <si>
    <t>Отношение«сигнал/шум» на границе контролируемой зоны,∆∗л.𝑖</t>
  </si>
  <si>
    <t>Словесная разборчивость речи Wc</t>
  </si>
  <si>
    <t>Ai</t>
  </si>
  <si>
    <t>Ki</t>
  </si>
  <si>
    <t>Qi</t>
  </si>
  <si>
    <t>pi</t>
  </si>
  <si>
    <t>Ri</t>
  </si>
  <si>
    <t>Отношение «сигнал/ шум»,∆𝑖</t>
  </si>
  <si>
    <t>R</t>
  </si>
  <si>
    <t>Wc</t>
  </si>
  <si>
    <t>∆[дб]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</si>
</sst>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topLeftCell="B1" zoomScaleNormal="100" workbookViewId="0">
      <selection activeCell="J9" sqref="J9"/>
    </sheetView>
  </sheetViews>
  <sheetFormatPr defaultRowHeight="14.4" x14ac:dyDescent="0.3"/>
  <cols>
    <col min="1" max="1" width="31.109375" customWidth="1"/>
    <col min="2" max="2" width="19.6640625" customWidth="1"/>
    <col min="3" max="3" width="21" customWidth="1"/>
    <col min="4" max="4" width="15.21875" customWidth="1"/>
    <col min="5" max="5" width="17.88671875" customWidth="1"/>
    <col min="6" max="6" width="21.88671875" customWidth="1"/>
    <col min="7" max="7" width="11.44140625" bestFit="1" customWidth="1"/>
  </cols>
  <sheetData>
    <row r="1" spans="1:15" ht="72" x14ac:dyDescent="0.3">
      <c r="A1" s="1" t="s">
        <v>1</v>
      </c>
      <c r="B1" s="1" t="s">
        <v>9</v>
      </c>
      <c r="C1" s="1" t="s">
        <v>10</v>
      </c>
      <c r="D1" s="1" t="s">
        <v>0</v>
      </c>
      <c r="E1" s="1" t="s">
        <v>2</v>
      </c>
      <c r="F1" s="1" t="s">
        <v>3</v>
      </c>
      <c r="G1" s="1" t="s">
        <v>4</v>
      </c>
    </row>
    <row r="2" spans="1:15" x14ac:dyDescent="0.3">
      <c r="A2" s="1">
        <v>275</v>
      </c>
      <c r="B2" s="1">
        <v>80</v>
      </c>
      <c r="C2" s="1">
        <v>118.5</v>
      </c>
      <c r="D2" s="1">
        <v>49.5</v>
      </c>
      <c r="E2" s="1">
        <v>48.42</v>
      </c>
      <c r="F2" s="1">
        <v>124.21</v>
      </c>
      <c r="G2" s="1">
        <v>41.2</v>
      </c>
    </row>
    <row r="3" spans="1:15" x14ac:dyDescent="0.3">
      <c r="A3" s="1">
        <v>525</v>
      </c>
      <c r="B3" s="1">
        <v>80</v>
      </c>
      <c r="C3" s="1">
        <v>110.7</v>
      </c>
      <c r="D3" s="1">
        <v>44.2</v>
      </c>
      <c r="E3" s="1">
        <v>43.14</v>
      </c>
      <c r="F3" s="1">
        <v>97.83</v>
      </c>
      <c r="G3" s="1">
        <v>52.4</v>
      </c>
    </row>
    <row r="4" spans="1:15" x14ac:dyDescent="0.3">
      <c r="A4" s="1">
        <v>1025</v>
      </c>
      <c r="B4" s="1">
        <v>75</v>
      </c>
      <c r="C4" s="1">
        <v>108.4</v>
      </c>
      <c r="D4" s="1">
        <v>46.7</v>
      </c>
      <c r="E4" s="1">
        <v>44.6</v>
      </c>
      <c r="F4" s="1">
        <v>221.44</v>
      </c>
      <c r="G4" s="1">
        <v>126.1</v>
      </c>
      <c r="J4" s="1"/>
    </row>
    <row r="5" spans="1:15" x14ac:dyDescent="0.3">
      <c r="A5" s="1">
        <v>2025</v>
      </c>
      <c r="B5" s="1">
        <v>70</v>
      </c>
      <c r="C5" s="1">
        <v>107.5</v>
      </c>
      <c r="D5" s="1">
        <v>48.1</v>
      </c>
      <c r="E5" s="1">
        <v>45.81</v>
      </c>
      <c r="F5" s="1">
        <v>117.41</v>
      </c>
      <c r="G5" s="1">
        <v>27.2</v>
      </c>
    </row>
    <row r="6" spans="1:15" x14ac:dyDescent="0.3">
      <c r="A6" s="1">
        <v>4025</v>
      </c>
      <c r="B6" s="1">
        <v>67</v>
      </c>
      <c r="C6" s="1">
        <v>110.5</v>
      </c>
      <c r="D6" s="1">
        <v>50.1</v>
      </c>
      <c r="E6" s="1">
        <v>44.91</v>
      </c>
      <c r="F6" s="1">
        <v>186.3</v>
      </c>
      <c r="G6" s="1">
        <v>55.12</v>
      </c>
    </row>
    <row r="7" spans="1:15" x14ac:dyDescent="0.3">
      <c r="A7" s="1"/>
      <c r="B7" s="1"/>
      <c r="C7" s="1"/>
      <c r="D7" s="1"/>
      <c r="E7" s="1"/>
      <c r="F7" s="1"/>
    </row>
    <row r="8" spans="1:15" ht="72" x14ac:dyDescent="0.3">
      <c r="A8" s="1" t="s">
        <v>5</v>
      </c>
      <c r="B8" s="1" t="s">
        <v>8</v>
      </c>
      <c r="C8" s="1" t="s">
        <v>6</v>
      </c>
      <c r="D8" s="1" t="s">
        <v>7</v>
      </c>
      <c r="E8" s="1" t="s">
        <v>11</v>
      </c>
      <c r="F8" s="1" t="s">
        <v>12</v>
      </c>
    </row>
    <row r="9" spans="1:15" x14ac:dyDescent="0.3">
      <c r="A9" s="1">
        <v>275</v>
      </c>
      <c r="B9" s="1">
        <f>10^(D2/20)</f>
        <v>298.53826189179608</v>
      </c>
      <c r="C9" s="1">
        <f>10^(E2/20)</f>
        <v>263.63313858253838</v>
      </c>
      <c r="D9" s="1">
        <f>IF(B9-C9&lt;1,B9-10^(7/20),SQRT(B9^2-C9^2))</f>
        <v>140.08091252734877</v>
      </c>
      <c r="E9" s="1">
        <f>10^((C2-B2)/20)</f>
        <v>84.139514164519525</v>
      </c>
      <c r="F9" s="1">
        <f>D9/E9</f>
        <v>1.6648647656016413</v>
      </c>
    </row>
    <row r="10" spans="1:15" x14ac:dyDescent="0.3">
      <c r="A10" s="1">
        <v>525</v>
      </c>
      <c r="B10" s="1">
        <f t="shared" ref="B10:B12" si="0">10^(D3/20)</f>
        <v>162.18100973589304</v>
      </c>
      <c r="C10" s="1">
        <f t="shared" ref="C10:C13" si="1">10^(E3/20)</f>
        <v>143.54894333536564</v>
      </c>
      <c r="D10" s="1">
        <f t="shared" ref="D10:D13" si="2">IF(B10-C10&lt;1,B10-10^(7/20),SQRT(B10^2-C10^2))</f>
        <v>75.474371718178745</v>
      </c>
      <c r="E10" s="1">
        <f t="shared" ref="E10:E13" si="3">10^((C3-B3)/20)</f>
        <v>34.276778654645064</v>
      </c>
      <c r="F10" s="1">
        <f t="shared" ref="F10:F13" si="4">D10/E10</f>
        <v>2.2019097091538016</v>
      </c>
    </row>
    <row r="11" spans="1:15" x14ac:dyDescent="0.3">
      <c r="A11" s="1">
        <v>1025</v>
      </c>
      <c r="B11" s="1">
        <f>10^(D4/20)</f>
        <v>216.2718523727022</v>
      </c>
      <c r="C11" s="1">
        <f t="shared" si="1"/>
        <v>169.82436524617444</v>
      </c>
      <c r="D11" s="1">
        <f t="shared" si="2"/>
        <v>133.91489497981109</v>
      </c>
      <c r="E11" s="1">
        <f t="shared" si="3"/>
        <v>46.773514128719881</v>
      </c>
      <c r="F11" s="1">
        <f t="shared" si="4"/>
        <v>2.863049686865085</v>
      </c>
    </row>
    <row r="12" spans="1:15" x14ac:dyDescent="0.3">
      <c r="A12" s="1">
        <v>2025</v>
      </c>
      <c r="B12" s="1">
        <f t="shared" si="0"/>
        <v>254.09727055493076</v>
      </c>
      <c r="C12" s="1">
        <f t="shared" si="1"/>
        <v>195.20907340433067</v>
      </c>
      <c r="D12" s="1">
        <f t="shared" si="2"/>
        <v>162.66173663184688</v>
      </c>
      <c r="E12" s="1">
        <f t="shared" si="3"/>
        <v>74.98942093324564</v>
      </c>
      <c r="F12" s="1">
        <f t="shared" si="4"/>
        <v>2.1691291199147371</v>
      </c>
    </row>
    <row r="13" spans="1:15" x14ac:dyDescent="0.3">
      <c r="A13" s="1">
        <v>4025</v>
      </c>
      <c r="B13" s="1">
        <f>10^(D6/20)</f>
        <v>319.88951096913979</v>
      </c>
      <c r="C13" s="1">
        <f>10^(E6/20)</f>
        <v>175.99486638014704</v>
      </c>
      <c r="D13" s="1">
        <f t="shared" si="2"/>
        <v>267.12376576394246</v>
      </c>
      <c r="E13" s="1">
        <f t="shared" si="3"/>
        <v>149.62356560944329</v>
      </c>
      <c r="F13" s="1">
        <f t="shared" si="4"/>
        <v>1.7853054408635434</v>
      </c>
    </row>
    <row r="16" spans="1:15" ht="86.4" x14ac:dyDescent="0.3">
      <c r="A16" s="1" t="s">
        <v>13</v>
      </c>
      <c r="B16" s="1" t="s">
        <v>16</v>
      </c>
      <c r="C16" s="1" t="s">
        <v>15</v>
      </c>
      <c r="D16" s="1" t="s">
        <v>17</v>
      </c>
      <c r="E16" s="1" t="s">
        <v>14</v>
      </c>
      <c r="F16" s="1" t="s">
        <v>28</v>
      </c>
      <c r="G16" s="1" t="s">
        <v>31</v>
      </c>
      <c r="H16" s="1" t="s">
        <v>18</v>
      </c>
      <c r="I16" s="1" t="s">
        <v>23</v>
      </c>
      <c r="J16" s="1" t="s">
        <v>24</v>
      </c>
      <c r="K16" s="1" t="s">
        <v>25</v>
      </c>
      <c r="L16" s="1" t="s">
        <v>26</v>
      </c>
      <c r="M16" s="1" t="s">
        <v>27</v>
      </c>
      <c r="N16" s="1" t="s">
        <v>29</v>
      </c>
      <c r="O16" s="1" t="s">
        <v>30</v>
      </c>
    </row>
    <row r="17" spans="1:15" x14ac:dyDescent="0.3">
      <c r="A17" s="1">
        <v>275</v>
      </c>
      <c r="B17" s="1">
        <v>1.2</v>
      </c>
      <c r="C17" s="1">
        <v>1.2</v>
      </c>
      <c r="D17" s="1">
        <v>151</v>
      </c>
      <c r="E17" s="1"/>
      <c r="F17" s="1">
        <f>F9/B17</f>
        <v>1.3873873046680345</v>
      </c>
      <c r="G17">
        <f>20*LOG10(F17)</f>
        <v>2.8439543231225919</v>
      </c>
      <c r="H17" s="1">
        <f>IF(M17&lt;0.15,1.54*(M17^0.25)*(1-EXP(-11*M17)),1-EXP((-11*M17)/(1+0.7*M17)))</f>
        <v>1.2984613409905468E-2</v>
      </c>
      <c r="I17">
        <v>18</v>
      </c>
      <c r="J17">
        <v>0.03</v>
      </c>
      <c r="K17">
        <f>G17-I17</f>
        <v>-15.156045676877408</v>
      </c>
      <c r="L17">
        <f>IF(K17&gt;0,1-(0.78+5.46*EXP(-4.3*10^(-3)*(27.3-K17)^2)/(1+10^(0.1*K17))),(0.78+5.46*EXP(-4.3*10^(-3)*(27.3-ABS(K17))^2))/(1+10^(0.1*ABS(K17))))</f>
        <v>0.10882054906062971</v>
      </c>
      <c r="M17">
        <f>L17*J17</f>
        <v>3.2646164718188914E-3</v>
      </c>
      <c r="N17">
        <f>SUM(M17:M21)</f>
        <v>0.25930559610278947</v>
      </c>
      <c r="O17">
        <f>IF(N17&lt;0.15,1.54*(N17^0.25)*(1-EXP(-11*N17)),1-EXP((-11*N17)/(1+0.7*N17)))</f>
        <v>0.91055740341128677</v>
      </c>
    </row>
    <row r="18" spans="1:15" x14ac:dyDescent="0.3">
      <c r="A18" s="1">
        <v>525</v>
      </c>
      <c r="B18" s="1">
        <v>1.5</v>
      </c>
      <c r="C18" s="1">
        <v>1.5</v>
      </c>
      <c r="D18" s="1">
        <v>74</v>
      </c>
      <c r="E18" s="1"/>
      <c r="F18" s="1">
        <f>F10/B18</f>
        <v>1.4679398061025344</v>
      </c>
      <c r="G18">
        <f t="shared" ref="G18:G21" si="5">20*LOG10(F18)</f>
        <v>3.3341649479295192</v>
      </c>
      <c r="H18" s="1">
        <f t="shared" ref="H18:H21" si="6">IF(M18&lt;0.15,1.54*(M18^0.25)*(1-EXP(-11*M18)),1-EXP((-11*M18)/(1+0.7*M18)))</f>
        <v>0.13502419800621815</v>
      </c>
      <c r="I18">
        <v>14</v>
      </c>
      <c r="J18">
        <v>0.12</v>
      </c>
      <c r="K18">
        <f t="shared" ref="K18:K21" si="7">G18-I18</f>
        <v>-10.665835052070481</v>
      </c>
      <c r="L18">
        <f t="shared" ref="L18:L21" si="8">IF(K18&gt;0,1-(0.78+5.46*EXP(-4.3*10^(-3)*(27.3-K18)^2)/(1+10^(0.1*K18))),(0.78+5.46*EXP(-4.3*10^(-3)*(27.3-ABS(K18))^2))/(1+10^(0.1*ABS(K18))))</f>
        <v>0.1928903628293277</v>
      </c>
      <c r="M18">
        <f t="shared" ref="M18:M21" si="9">L18*J18</f>
        <v>2.3146843539519322E-2</v>
      </c>
    </row>
    <row r="19" spans="1:15" x14ac:dyDescent="0.3">
      <c r="A19" s="1">
        <v>1025</v>
      </c>
      <c r="B19" s="1">
        <v>1.7</v>
      </c>
      <c r="C19" s="1">
        <v>1.7</v>
      </c>
      <c r="D19" s="1">
        <v>20.5</v>
      </c>
      <c r="E19" s="1"/>
      <c r="F19" s="1">
        <f>F11/B19</f>
        <v>1.6841468746265207</v>
      </c>
      <c r="G19">
        <f t="shared" si="5"/>
        <v>4.5275992736564641</v>
      </c>
      <c r="H19" s="1">
        <f t="shared" si="6"/>
        <v>0.43428005954584792</v>
      </c>
      <c r="I19">
        <v>9</v>
      </c>
      <c r="J19">
        <v>0.2</v>
      </c>
      <c r="K19">
        <f t="shared" si="7"/>
        <v>-4.4724007263435359</v>
      </c>
      <c r="L19">
        <f t="shared" si="8"/>
        <v>0.35806621839474234</v>
      </c>
      <c r="M19">
        <f t="shared" si="9"/>
        <v>7.1613243678948474E-2</v>
      </c>
    </row>
    <row r="20" spans="1:15" x14ac:dyDescent="0.3">
      <c r="A20" s="1">
        <v>2025</v>
      </c>
      <c r="B20" s="1">
        <v>2.1</v>
      </c>
      <c r="C20" s="1">
        <v>2.1</v>
      </c>
      <c r="D20" s="1">
        <v>4.5999999999999996</v>
      </c>
      <c r="E20" s="1"/>
      <c r="F20" s="1">
        <f>F12/B20</f>
        <v>1.0329186285308272</v>
      </c>
      <c r="G20">
        <f t="shared" si="5"/>
        <v>0.28132219860174268</v>
      </c>
      <c r="H20" s="1">
        <f t="shared" si="6"/>
        <v>0.5598978313010281</v>
      </c>
      <c r="I20">
        <v>6</v>
      </c>
      <c r="J20">
        <v>0.3</v>
      </c>
      <c r="K20">
        <f t="shared" si="7"/>
        <v>-5.7186778013982575</v>
      </c>
      <c r="L20">
        <f t="shared" si="8"/>
        <v>0.32060698857793102</v>
      </c>
      <c r="M20">
        <f t="shared" si="9"/>
        <v>9.6182096573379297E-2</v>
      </c>
    </row>
    <row r="21" spans="1:15" x14ac:dyDescent="0.3">
      <c r="A21" s="1">
        <v>4025</v>
      </c>
      <c r="B21" s="1">
        <v>2.6</v>
      </c>
      <c r="C21" s="1">
        <v>2.6</v>
      </c>
      <c r="D21" s="1">
        <v>1</v>
      </c>
      <c r="E21" s="1"/>
      <c r="F21" s="1">
        <f>F13/B21</f>
        <v>0.68665593879367048</v>
      </c>
      <c r="G21">
        <f t="shared" si="5"/>
        <v>-3.2652163887317243</v>
      </c>
      <c r="H21" s="1">
        <f t="shared" si="6"/>
        <v>0.39776180125705451</v>
      </c>
      <c r="I21">
        <v>5</v>
      </c>
      <c r="J21">
        <v>0.26</v>
      </c>
      <c r="K21">
        <f t="shared" si="7"/>
        <v>-8.2652163887317247</v>
      </c>
      <c r="L21">
        <f t="shared" si="8"/>
        <v>0.2503799839966287</v>
      </c>
      <c r="M21">
        <f t="shared" si="9"/>
        <v>6.5098795839123466E-2</v>
      </c>
    </row>
    <row r="23" spans="1:15" x14ac:dyDescent="0.3">
      <c r="H23" s="2"/>
      <c r="I23" s="2"/>
      <c r="J23" s="2"/>
      <c r="K23" s="2"/>
      <c r="L23" s="2"/>
    </row>
    <row r="24" spans="1:15" ht="57.6" x14ac:dyDescent="0.3">
      <c r="A24" s="1" t="s">
        <v>19</v>
      </c>
      <c r="B24" s="1" t="s">
        <v>20</v>
      </c>
      <c r="C24" s="1" t="s">
        <v>21</v>
      </c>
      <c r="D24" s="1" t="s">
        <v>31</v>
      </c>
      <c r="E24" s="1" t="s">
        <v>22</v>
      </c>
      <c r="F24" s="1" t="s">
        <v>23</v>
      </c>
      <c r="G24" s="1" t="s">
        <v>24</v>
      </c>
      <c r="H24" s="1" t="s">
        <v>25</v>
      </c>
      <c r="I24" s="1" t="s">
        <v>26</v>
      </c>
      <c r="J24" s="1" t="s">
        <v>27</v>
      </c>
      <c r="K24" s="2" t="s">
        <v>29</v>
      </c>
      <c r="L24" s="2" t="s">
        <v>30</v>
      </c>
    </row>
    <row r="25" spans="1:15" x14ac:dyDescent="0.3">
      <c r="A25" s="1">
        <v>275</v>
      </c>
      <c r="B25" s="1">
        <f>F2/G2</f>
        <v>3.0148058252427181</v>
      </c>
      <c r="C25" s="1">
        <f>F17/B25</f>
        <v>0.46019126440965324</v>
      </c>
      <c r="D25">
        <f>20*LOG10(C25)</f>
        <v>-6.7412325918651819</v>
      </c>
      <c r="E25" s="1">
        <f>IF(J25&lt;0.15,1.54*(J25^0.25)*(1-EXP(-11*J25)),1-EXP((-11*J25)/(1+0.7*J25)))</f>
        <v>1.6218643513889971E-3</v>
      </c>
      <c r="F25">
        <v>18</v>
      </c>
      <c r="G25">
        <v>0.03</v>
      </c>
      <c r="H25">
        <f>D25-F25</f>
        <v>-24.741232591865181</v>
      </c>
      <c r="I25">
        <f>IF(H25&gt;0,1-(0.78+5.46*EXP(-4.3*10^(-3)*(27.3-ABS(H25))^2)/(1+10^(0.1*ABS(H25)))),(0.78+5.46*EXP(-4.3*10^(-3)*(27.3-ABS(H25))^2))/(1+10^(0.1*ABS(H25))))</f>
        <v>2.0366976583498831E-2</v>
      </c>
      <c r="J25">
        <f>I25*G25</f>
        <v>6.1100929750496492E-4</v>
      </c>
      <c r="K25">
        <f>SUM(J25:J29)</f>
        <v>9.2554228734490401E-2</v>
      </c>
      <c r="L25">
        <f>IF(K25&lt;0.15,1.54*(K25^0.25)*(1-EXP(-11*K25)),1-EXP((-11*K25)/(1+0.7*K25)))</f>
        <v>0.54253649330862541</v>
      </c>
    </row>
    <row r="26" spans="1:15" x14ac:dyDescent="0.3">
      <c r="A26" s="1">
        <v>525</v>
      </c>
      <c r="B26" s="1">
        <f t="shared" ref="B26:B29" si="10">F3/G3</f>
        <v>1.8669847328244276</v>
      </c>
      <c r="C26" s="1">
        <f>F18/B26</f>
        <v>0.78626235142362055</v>
      </c>
      <c r="D26">
        <f t="shared" ref="D26:D29" si="11">20*LOG10(C26)</f>
        <v>-2.0886503829083365</v>
      </c>
      <c r="E26" s="1">
        <f t="shared" ref="E26:E29" si="12">IF(J26&lt;0.15,1.54*(J26^0.25)*(1-EXP(-11*J26)),1-EXP((-11*J26)/(1+0.7*J26)))</f>
        <v>5.9399564937051161E-2</v>
      </c>
      <c r="F26">
        <v>14</v>
      </c>
      <c r="G26">
        <v>0.12</v>
      </c>
      <c r="H26">
        <f t="shared" ref="H26:H29" si="13">D26-F26</f>
        <v>-16.088650382908337</v>
      </c>
      <c r="I26">
        <f t="shared" ref="I26:I29" si="14">IF(H26&gt;0,1-(0.78+5.46*EXP(-4.3*10^(-3)*(27.3-ABS(H26))^2)/(1+10^(0.1*ABS(H26)))),(0.78+5.46*EXP(-4.3*10^(-3)*(27.3-ABS(H26))^2))/(1+10^(0.1*ABS(H26))))</f>
        <v>9.5126066763266764E-2</v>
      </c>
      <c r="J26">
        <f t="shared" ref="J26:J29" si="15">I26*G26</f>
        <v>1.1415128011592012E-2</v>
      </c>
    </row>
    <row r="27" spans="1:15" x14ac:dyDescent="0.3">
      <c r="A27" s="1">
        <v>1025</v>
      </c>
      <c r="B27" s="1">
        <f t="shared" si="10"/>
        <v>1.7560666137985725</v>
      </c>
      <c r="C27" s="1">
        <f t="shared" ref="C27:C29" si="16">F19/B27</f>
        <v>0.95904498234467239</v>
      </c>
      <c r="D27">
        <f t="shared" si="11"/>
        <v>-0.36322045041517953</v>
      </c>
      <c r="E27" s="1">
        <f t="shared" si="12"/>
        <v>0.27441353163938309</v>
      </c>
      <c r="F27">
        <v>9</v>
      </c>
      <c r="G27">
        <v>0.2</v>
      </c>
      <c r="H27">
        <f t="shared" si="13"/>
        <v>-9.363220450415179</v>
      </c>
      <c r="I27">
        <f t="shared" si="14"/>
        <v>0.22300465115955634</v>
      </c>
      <c r="J27">
        <f t="shared" si="15"/>
        <v>4.4600930231911272E-2</v>
      </c>
    </row>
    <row r="28" spans="1:15" x14ac:dyDescent="0.3">
      <c r="A28" s="1">
        <v>2025</v>
      </c>
      <c r="B28" s="1">
        <f t="shared" si="10"/>
        <v>4.3165441176470587</v>
      </c>
      <c r="C28" s="1">
        <f t="shared" si="16"/>
        <v>0.23929296223523125</v>
      </c>
      <c r="D28">
        <f t="shared" si="11"/>
        <v>-12.4214014817513</v>
      </c>
      <c r="E28" s="1">
        <f t="shared" si="12"/>
        <v>0.11349490702764117</v>
      </c>
      <c r="F28">
        <v>6</v>
      </c>
      <c r="G28">
        <v>0.3</v>
      </c>
      <c r="H28">
        <f t="shared" si="13"/>
        <v>-18.4214014817513</v>
      </c>
      <c r="I28">
        <f t="shared" si="14"/>
        <v>6.6221792870788776E-2</v>
      </c>
      <c r="J28">
        <f t="shared" si="15"/>
        <v>1.9866537861236631E-2</v>
      </c>
    </row>
    <row r="29" spans="1:15" x14ac:dyDescent="0.3">
      <c r="A29" s="1">
        <v>4025</v>
      </c>
      <c r="B29" s="1">
        <f t="shared" si="10"/>
        <v>3.3798984034833097</v>
      </c>
      <c r="C29" s="1">
        <f t="shared" si="16"/>
        <v>0.20315875118790719</v>
      </c>
      <c r="D29">
        <f t="shared" si="11"/>
        <v>-13.84328930866519</v>
      </c>
      <c r="E29" s="1">
        <f t="shared" si="12"/>
        <v>8.8780649875016895E-2</v>
      </c>
      <c r="F29">
        <v>5</v>
      </c>
      <c r="G29">
        <v>0.26</v>
      </c>
      <c r="H29">
        <f t="shared" si="13"/>
        <v>-18.843289308665192</v>
      </c>
      <c r="I29">
        <f t="shared" si="14"/>
        <v>6.1771628200944305E-2</v>
      </c>
      <c r="J29">
        <f t="shared" si="15"/>
        <v>1.6060623332245519E-2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Драпей</dc:creator>
  <cp:lastModifiedBy>Татьяна Морозова</cp:lastModifiedBy>
  <dcterms:created xsi:type="dcterms:W3CDTF">2015-06-05T18:17:20Z</dcterms:created>
  <dcterms:modified xsi:type="dcterms:W3CDTF">2025-10-26T23:36:47Z</dcterms:modified>
</cp:coreProperties>
</file>